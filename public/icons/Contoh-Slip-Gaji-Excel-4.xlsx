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erd\mandala\public\icons\"/>
    </mc:Choice>
  </mc:AlternateContent>
  <xr:revisionPtr revIDLastSave="0" documentId="13_ncr:1_{D6593F78-6186-44A0-9C24-679739D13001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1" sheetId="2" r:id="rId1"/>
    <sheet name="GAJI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9" i="1" s="1"/>
  <c r="H6" i="1"/>
  <c r="H26" i="1"/>
  <c r="C40" i="1"/>
  <c r="E58" i="2" l="1"/>
  <c r="H28" i="1"/>
</calcChain>
</file>

<file path=xl/sharedStrings.xml><?xml version="1.0" encoding="utf-8"?>
<sst xmlns="http://schemas.openxmlformats.org/spreadsheetml/2006/main" count="156" uniqueCount="101">
  <si>
    <t>SLIP GAJI</t>
  </si>
  <si>
    <t>Periode</t>
  </si>
  <si>
    <t>:</t>
  </si>
  <si>
    <t>Karyawan</t>
  </si>
  <si>
    <t>Jabatan</t>
  </si>
  <si>
    <t>Status</t>
  </si>
  <si>
    <t>PTKP</t>
  </si>
  <si>
    <t>PENERIMAAN</t>
  </si>
  <si>
    <t>-</t>
  </si>
  <si>
    <t>Gaji Pokok</t>
  </si>
  <si>
    <t>Tunjangan jabatan</t>
  </si>
  <si>
    <t>Tunjangan transportasi</t>
  </si>
  <si>
    <t>Tunjangan BPJS</t>
  </si>
  <si>
    <t>Lembur</t>
  </si>
  <si>
    <t>Bonus / THR</t>
  </si>
  <si>
    <t>Penerimaan lainnya</t>
  </si>
  <si>
    <t>Total Penghasilan Bruto</t>
  </si>
  <si>
    <t>PENGURANGAN</t>
  </si>
  <si>
    <t>Iuran BPJS Kesehatan</t>
  </si>
  <si>
    <t>Iuran BPJS Ketenagakerjaan</t>
  </si>
  <si>
    <t>Pajak</t>
  </si>
  <si>
    <t>Total Pengurangan</t>
  </si>
  <si>
    <t>TOTAL DITERIMA KARYAWAN</t>
  </si>
  <si>
    <t>Penerima</t>
  </si>
  <si>
    <t>K/0</t>
  </si>
  <si>
    <t>Potongan keterlambatan</t>
  </si>
  <si>
    <t>27 Februari 2026</t>
  </si>
  <si>
    <t>Relawan Kontrak</t>
  </si>
  <si>
    <t>PLO Keuangan</t>
  </si>
  <si>
    <t>Dani Nugraha, S.Ak.</t>
  </si>
  <si>
    <t>SPPG Ciamis Panjalu Kertamandala</t>
  </si>
  <si>
    <t>Dusun Cibungur, Rt 004 Rw 001</t>
  </si>
  <si>
    <t>Panjalu</t>
  </si>
  <si>
    <t>Ciamis</t>
  </si>
  <si>
    <t>o</t>
  </si>
  <si>
    <t>PEMBAYARAN UPAH RELAWAN</t>
  </si>
  <si>
    <t>Sesusai Surat Keputusan/Tugas Nomor 10 Tanggal 13 Februari 2026</t>
  </si>
  <si>
    <t>No</t>
  </si>
  <si>
    <t>Jenis Pekerjaan</t>
  </si>
  <si>
    <t>Nama</t>
  </si>
  <si>
    <t>Total Upah</t>
  </si>
  <si>
    <t>Asisten Lapangan</t>
  </si>
  <si>
    <t>Endang Sulaiman</t>
  </si>
  <si>
    <t>Jurutam Masak</t>
  </si>
  <si>
    <t>Wini Oktaviani</t>
  </si>
  <si>
    <t>Persiapan</t>
  </si>
  <si>
    <t>Fitra Dandi Mayo</t>
  </si>
  <si>
    <t>Fitri Komala Fauziyah</t>
  </si>
  <si>
    <t>Imas Masitoh</t>
  </si>
  <si>
    <t>Nurhayati (M)</t>
  </si>
  <si>
    <t>Sri Restu Handayani</t>
  </si>
  <si>
    <t>Tuti Haryati</t>
  </si>
  <si>
    <t>Wulan Fadilah Agustiena</t>
  </si>
  <si>
    <t>Yuni Juniyanti</t>
  </si>
  <si>
    <t>Nurhayati (R)</t>
  </si>
  <si>
    <t>Zidan Putra Ramadhan</t>
  </si>
  <si>
    <t>Pengolahan</t>
  </si>
  <si>
    <t>Sasmitha</t>
  </si>
  <si>
    <t>Yuyun Siti Yunaningsih</t>
  </si>
  <si>
    <t>Nene Solihat</t>
  </si>
  <si>
    <t>Aditia Robiana</t>
  </si>
  <si>
    <t>Ani Mulyani</t>
  </si>
  <si>
    <t>Yani</t>
  </si>
  <si>
    <t>Nova</t>
  </si>
  <si>
    <t>Indra Alamsyah</t>
  </si>
  <si>
    <t>Pemorsian</t>
  </si>
  <si>
    <t>Mahesa Dwi Putra</t>
  </si>
  <si>
    <t>Iros Rosita</t>
  </si>
  <si>
    <t>Rini Nuraeni</t>
  </si>
  <si>
    <t>Dina Nuraeni</t>
  </si>
  <si>
    <t>Salma Salafina</t>
  </si>
  <si>
    <t>Anisa</t>
  </si>
  <si>
    <t>Lina Andriyani</t>
  </si>
  <si>
    <t>Dea</t>
  </si>
  <si>
    <t>Winda Nurhayati</t>
  </si>
  <si>
    <t>Dela Puspita Dewi</t>
  </si>
  <si>
    <t>Lia Muryati</t>
  </si>
  <si>
    <t>Distribusi</t>
  </si>
  <si>
    <t>Yogi Suryana</t>
  </si>
  <si>
    <t>Adad Arsyad</t>
  </si>
  <si>
    <t>Entis Sutisna</t>
  </si>
  <si>
    <t>Rega Gumelar</t>
  </si>
  <si>
    <t>Magang Distribusi</t>
  </si>
  <si>
    <t>Angga Maulana</t>
  </si>
  <si>
    <t>Hilman Abdurahman</t>
  </si>
  <si>
    <t>Pencuci Alat Makan</t>
  </si>
  <si>
    <t>Ahmad Fauzi</t>
  </si>
  <si>
    <t>Ariep Pajaruddin Ramadhan</t>
  </si>
  <si>
    <t>Afrizal</t>
  </si>
  <si>
    <t>Cucu Ernawati</t>
  </si>
  <si>
    <t>Yayah Rukoyah</t>
  </si>
  <si>
    <t>Pipin</t>
  </si>
  <si>
    <t>Mimi</t>
  </si>
  <si>
    <t>Dikeu Darmarai</t>
  </si>
  <si>
    <t>Sultan</t>
  </si>
  <si>
    <t>Irvan Maulana</t>
  </si>
  <si>
    <t>Keamanan</t>
  </si>
  <si>
    <t>Komarudin</t>
  </si>
  <si>
    <t>Yana</t>
  </si>
  <si>
    <t>TOTAL</t>
  </si>
  <si>
    <t>Ciamis, 27 Februari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</si>
</sst>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[$-F800]dddd\,\ mmmm\ dd\,\ yyyy"/>
    <numFmt numFmtId="166" formatCode="_(* #,##0_);_(* \(#,##0\);_(* &quot;-&quot;??_);_(@_)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double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4" fillId="2" borderId="0" xfId="0" applyFont="1" applyFill="1"/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1" xfId="0" applyFont="1" applyFill="1" applyBorder="1"/>
    <xf numFmtId="0" fontId="5" fillId="2" borderId="0" xfId="0" applyFont="1" applyFill="1"/>
    <xf numFmtId="0" fontId="4" fillId="2" borderId="0" xfId="0" quotePrefix="1" applyFont="1" applyFill="1"/>
    <xf numFmtId="41" fontId="4" fillId="2" borderId="0" xfId="1" applyFont="1" applyFill="1"/>
    <xf numFmtId="41" fontId="5" fillId="2" borderId="2" xfId="0" applyNumberFormat="1" applyFont="1" applyFill="1" applyBorder="1"/>
    <xf numFmtId="41" fontId="4" fillId="2" borderId="0" xfId="0" applyNumberFormat="1" applyFont="1" applyFill="1"/>
    <xf numFmtId="41" fontId="5" fillId="2" borderId="3" xfId="0" applyNumberFormat="1" applyFont="1" applyFill="1" applyBorder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/>
    <xf numFmtId="0" fontId="4" fillId="2" borderId="0" xfId="0" quotePrefix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4" fillId="2" borderId="0" xfId="0" quotePrefix="1" applyNumberFormat="1" applyFont="1" applyFill="1" applyAlignment="1">
      <alignment horizontal="left"/>
    </xf>
    <xf numFmtId="164" fontId="4" fillId="2" borderId="0" xfId="0" applyNumberFormat="1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/>
    </xf>
    <xf numFmtId="166" fontId="0" fillId="0" borderId="10" xfId="0" applyNumberForma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1" xfId="0" applyBorder="1" applyAlignment="1">
      <alignment horizontal="left" vertical="center"/>
    </xf>
    <xf numFmtId="166" fontId="0" fillId="0" borderId="11" xfId="4" applyNumberFormat="1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5">
    <cellStyle name="Comma" xfId="4" builtinId="3"/>
    <cellStyle name="Comma [0]" xfId="1" builtinId="6"/>
    <cellStyle name="Comma [0] 2 2 2" xfId="2" xr:uid="{00000000-0005-0000-0000-000001000000}"/>
    <cellStyle name="Normal" xfId="0" builtinId="0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60</xdr:row>
      <xdr:rowOff>137357</xdr:rowOff>
    </xdr:from>
    <xdr:ext cx="2273315" cy="15081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65222E-D357-4D55-9D8F-C9E57D7DE3C6}"/>
            </a:ext>
          </a:extLst>
        </xdr:cNvPr>
        <xdr:cNvSpPr txBox="1"/>
      </xdr:nvSpPr>
      <xdr:spPr>
        <a:xfrm>
          <a:off x="23011571" y="12354757"/>
          <a:ext cx="2273315" cy="15081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Akuntan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SPPG Kertamandala 2</a:t>
          </a:r>
        </a:p>
        <a:p>
          <a:pPr algn="ctr"/>
          <a:endParaRPr lang="en-US" sz="12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2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2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2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2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2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Dani Nugraha, S.Ak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48FA-A1D4-43D8-8E59-E4F3D5D910B8}">
  <dimension ref="B1:T60"/>
  <sheetViews>
    <sheetView topLeftCell="A28" zoomScale="70" zoomScaleNormal="70" workbookViewId="0">
      <selection activeCell="D56" sqref="D56"/>
    </sheetView>
  </sheetViews>
  <sheetFormatPr defaultRowHeight="14.5" x14ac:dyDescent="0.35"/>
  <cols>
    <col min="2" max="2" width="12.81640625" style="27" bestFit="1" customWidth="1"/>
    <col min="3" max="3" width="23.36328125" style="23" customWidth="1"/>
    <col min="4" max="4" width="27.6328125" style="24" customWidth="1"/>
    <col min="5" max="5" width="15.7265625" style="23" customWidth="1"/>
    <col min="6" max="6" width="11.36328125" customWidth="1"/>
  </cols>
  <sheetData>
    <row r="1" spans="2:5" x14ac:dyDescent="0.35">
      <c r="B1" s="22">
        <v>46068</v>
      </c>
    </row>
    <row r="2" spans="2:5" ht="15" x14ac:dyDescent="0.35">
      <c r="B2" s="25" t="s">
        <v>34</v>
      </c>
      <c r="C2" s="25"/>
      <c r="D2" s="25"/>
      <c r="E2" s="25"/>
    </row>
    <row r="3" spans="2:5" x14ac:dyDescent="0.35">
      <c r="B3" s="26" t="s">
        <v>35</v>
      </c>
      <c r="C3" s="26"/>
      <c r="D3" s="26"/>
      <c r="E3" s="26"/>
    </row>
    <row r="4" spans="2:5" x14ac:dyDescent="0.35">
      <c r="B4" s="26" t="s">
        <v>36</v>
      </c>
      <c r="C4" s="26"/>
      <c r="D4" s="26"/>
      <c r="E4" s="26"/>
    </row>
    <row r="6" spans="2:5" x14ac:dyDescent="0.35">
      <c r="B6" s="28" t="s">
        <v>37</v>
      </c>
      <c r="C6" s="28" t="s">
        <v>38</v>
      </c>
      <c r="D6" s="28" t="s">
        <v>39</v>
      </c>
      <c r="E6" s="29" t="s">
        <v>40</v>
      </c>
    </row>
    <row r="7" spans="2:5" x14ac:dyDescent="0.35">
      <c r="B7" s="30"/>
      <c r="C7" s="30"/>
      <c r="D7" s="30"/>
      <c r="E7" s="31"/>
    </row>
    <row r="8" spans="2:5" ht="15" thickBot="1" x14ac:dyDescent="0.4">
      <c r="B8" s="32"/>
      <c r="C8" s="32"/>
      <c r="D8" s="32"/>
      <c r="E8" s="33"/>
    </row>
    <row r="9" spans="2:5" ht="15" thickTop="1" x14ac:dyDescent="0.35">
      <c r="B9" s="34">
        <v>1</v>
      </c>
      <c r="C9" s="35" t="s">
        <v>41</v>
      </c>
      <c r="D9" s="36" t="s">
        <v>42</v>
      </c>
      <c r="E9" s="37">
        <v>1400000</v>
      </c>
    </row>
    <row r="10" spans="2:5" x14ac:dyDescent="0.35">
      <c r="B10" s="34">
        <v>2</v>
      </c>
      <c r="C10" s="35" t="s">
        <v>43</v>
      </c>
      <c r="D10" s="36" t="s">
        <v>44</v>
      </c>
      <c r="E10" s="37">
        <v>1050000</v>
      </c>
    </row>
    <row r="11" spans="2:5" x14ac:dyDescent="0.35">
      <c r="B11" s="38">
        <v>1</v>
      </c>
      <c r="C11" s="39" t="s">
        <v>45</v>
      </c>
      <c r="D11" s="40" t="s">
        <v>46</v>
      </c>
      <c r="E11" s="37">
        <v>840000</v>
      </c>
    </row>
    <row r="12" spans="2:5" x14ac:dyDescent="0.35">
      <c r="B12" s="38">
        <v>2</v>
      </c>
      <c r="C12" s="39" t="s">
        <v>45</v>
      </c>
      <c r="D12" s="40" t="s">
        <v>47</v>
      </c>
      <c r="E12" s="37">
        <v>805000</v>
      </c>
    </row>
    <row r="13" spans="2:5" x14ac:dyDescent="0.35">
      <c r="B13" s="38">
        <v>3</v>
      </c>
      <c r="C13" s="39" t="s">
        <v>45</v>
      </c>
      <c r="D13" s="40" t="s">
        <v>48</v>
      </c>
      <c r="E13" s="37">
        <v>805000</v>
      </c>
    </row>
    <row r="14" spans="2:5" x14ac:dyDescent="0.35">
      <c r="B14" s="38">
        <v>4</v>
      </c>
      <c r="C14" s="39" t="s">
        <v>45</v>
      </c>
      <c r="D14" s="40" t="s">
        <v>49</v>
      </c>
      <c r="E14" s="37">
        <v>805000</v>
      </c>
    </row>
    <row r="15" spans="2:5" x14ac:dyDescent="0.35">
      <c r="B15" s="38">
        <v>5</v>
      </c>
      <c r="C15" s="39" t="s">
        <v>45</v>
      </c>
      <c r="D15" s="40" t="s">
        <v>50</v>
      </c>
      <c r="E15" s="37">
        <v>805000</v>
      </c>
    </row>
    <row r="16" spans="2:5" x14ac:dyDescent="0.35">
      <c r="B16" s="38">
        <v>6</v>
      </c>
      <c r="C16" s="39" t="s">
        <v>45</v>
      </c>
      <c r="D16" s="40" t="s">
        <v>51</v>
      </c>
      <c r="E16" s="37">
        <v>805000</v>
      </c>
    </row>
    <row r="17" spans="2:5" x14ac:dyDescent="0.35">
      <c r="B17" s="38">
        <v>7</v>
      </c>
      <c r="C17" s="39" t="s">
        <v>45</v>
      </c>
      <c r="D17" s="40" t="s">
        <v>52</v>
      </c>
      <c r="E17" s="37">
        <v>805000</v>
      </c>
    </row>
    <row r="18" spans="2:5" x14ac:dyDescent="0.35">
      <c r="B18" s="38">
        <v>8</v>
      </c>
      <c r="C18" s="39" t="s">
        <v>45</v>
      </c>
      <c r="D18" s="40" t="s">
        <v>53</v>
      </c>
      <c r="E18" s="37">
        <v>805000</v>
      </c>
    </row>
    <row r="19" spans="2:5" x14ac:dyDescent="0.35">
      <c r="B19" s="38">
        <v>9</v>
      </c>
      <c r="C19" s="39" t="s">
        <v>45</v>
      </c>
      <c r="D19" s="40" t="s">
        <v>54</v>
      </c>
      <c r="E19" s="37">
        <v>690000</v>
      </c>
    </row>
    <row r="20" spans="2:5" x14ac:dyDescent="0.35">
      <c r="B20" s="38">
        <v>10</v>
      </c>
      <c r="C20" s="39" t="s">
        <v>45</v>
      </c>
      <c r="D20" s="40" t="s">
        <v>55</v>
      </c>
      <c r="E20" s="37">
        <v>805000</v>
      </c>
    </row>
    <row r="21" spans="2:5" x14ac:dyDescent="0.35">
      <c r="B21" s="38">
        <v>1</v>
      </c>
      <c r="C21" s="39" t="s">
        <v>56</v>
      </c>
      <c r="D21" s="40" t="s">
        <v>57</v>
      </c>
      <c r="E21" s="37">
        <v>805000</v>
      </c>
    </row>
    <row r="22" spans="2:5" x14ac:dyDescent="0.35">
      <c r="B22" s="38">
        <v>2</v>
      </c>
      <c r="C22" s="39" t="s">
        <v>56</v>
      </c>
      <c r="D22" s="40" t="s">
        <v>58</v>
      </c>
      <c r="E22" s="37">
        <v>805000</v>
      </c>
    </row>
    <row r="23" spans="2:5" x14ac:dyDescent="0.35">
      <c r="B23" s="38">
        <v>3</v>
      </c>
      <c r="C23" s="39" t="s">
        <v>56</v>
      </c>
      <c r="D23" s="40" t="s">
        <v>59</v>
      </c>
      <c r="E23" s="37">
        <v>805000</v>
      </c>
    </row>
    <row r="24" spans="2:5" x14ac:dyDescent="0.35">
      <c r="B24" s="38">
        <v>4</v>
      </c>
      <c r="C24" s="39" t="s">
        <v>56</v>
      </c>
      <c r="D24" s="40" t="s">
        <v>60</v>
      </c>
      <c r="E24" s="37">
        <v>805000</v>
      </c>
    </row>
    <row r="25" spans="2:5" x14ac:dyDescent="0.35">
      <c r="B25" s="38">
        <v>5</v>
      </c>
      <c r="C25" s="39" t="s">
        <v>56</v>
      </c>
      <c r="D25" s="40" t="s">
        <v>61</v>
      </c>
      <c r="E25" s="37">
        <v>805000</v>
      </c>
    </row>
    <row r="26" spans="2:5" x14ac:dyDescent="0.35">
      <c r="B26" s="38">
        <v>6</v>
      </c>
      <c r="C26" s="39" t="s">
        <v>56</v>
      </c>
      <c r="D26" s="40" t="s">
        <v>62</v>
      </c>
      <c r="E26" s="37">
        <v>805000</v>
      </c>
    </row>
    <row r="27" spans="2:5" x14ac:dyDescent="0.35">
      <c r="B27" s="38">
        <v>8</v>
      </c>
      <c r="C27" s="39" t="s">
        <v>56</v>
      </c>
      <c r="D27" s="40" t="s">
        <v>63</v>
      </c>
      <c r="E27" s="37">
        <v>805000</v>
      </c>
    </row>
    <row r="28" spans="2:5" x14ac:dyDescent="0.35">
      <c r="B28" s="38">
        <v>9</v>
      </c>
      <c r="C28" s="39" t="s">
        <v>56</v>
      </c>
      <c r="D28" s="40" t="s">
        <v>64</v>
      </c>
      <c r="E28" s="37">
        <v>690000</v>
      </c>
    </row>
    <row r="29" spans="2:5" x14ac:dyDescent="0.35">
      <c r="B29" s="38">
        <v>1</v>
      </c>
      <c r="C29" s="39" t="s">
        <v>65</v>
      </c>
      <c r="D29" s="40" t="s">
        <v>66</v>
      </c>
      <c r="E29" s="37">
        <v>805000</v>
      </c>
    </row>
    <row r="30" spans="2:5" x14ac:dyDescent="0.35">
      <c r="B30" s="38">
        <v>2</v>
      </c>
      <c r="C30" s="39" t="s">
        <v>65</v>
      </c>
      <c r="D30" s="40" t="s">
        <v>67</v>
      </c>
      <c r="E30" s="37">
        <v>770000</v>
      </c>
    </row>
    <row r="31" spans="2:5" x14ac:dyDescent="0.35">
      <c r="B31" s="38">
        <v>3</v>
      </c>
      <c r="C31" s="39" t="s">
        <v>65</v>
      </c>
      <c r="D31" s="40" t="s">
        <v>68</v>
      </c>
      <c r="E31" s="37">
        <v>770000</v>
      </c>
    </row>
    <row r="32" spans="2:5" x14ac:dyDescent="0.35">
      <c r="B32" s="38">
        <v>4</v>
      </c>
      <c r="C32" s="39" t="s">
        <v>65</v>
      </c>
      <c r="D32" s="40" t="s">
        <v>69</v>
      </c>
      <c r="E32" s="37">
        <v>770000</v>
      </c>
    </row>
    <row r="33" spans="2:5" x14ac:dyDescent="0.35">
      <c r="B33" s="38">
        <v>5</v>
      </c>
      <c r="C33" s="39" t="s">
        <v>65</v>
      </c>
      <c r="D33" s="40" t="s">
        <v>70</v>
      </c>
      <c r="E33" s="37">
        <v>770000</v>
      </c>
    </row>
    <row r="34" spans="2:5" x14ac:dyDescent="0.35">
      <c r="B34" s="38">
        <v>6</v>
      </c>
      <c r="C34" s="39" t="s">
        <v>65</v>
      </c>
      <c r="D34" s="40" t="s">
        <v>71</v>
      </c>
      <c r="E34" s="37">
        <v>770000</v>
      </c>
    </row>
    <row r="35" spans="2:5" x14ac:dyDescent="0.35">
      <c r="B35" s="38">
        <v>7</v>
      </c>
      <c r="C35" s="39" t="s">
        <v>65</v>
      </c>
      <c r="D35" s="40" t="s">
        <v>72</v>
      </c>
      <c r="E35" s="37">
        <v>840000</v>
      </c>
    </row>
    <row r="36" spans="2:5" x14ac:dyDescent="0.35">
      <c r="B36" s="38">
        <v>8</v>
      </c>
      <c r="C36" s="39" t="s">
        <v>65</v>
      </c>
      <c r="D36" s="40" t="s">
        <v>73</v>
      </c>
      <c r="E36" s="37">
        <v>770000</v>
      </c>
    </row>
    <row r="37" spans="2:5" x14ac:dyDescent="0.35">
      <c r="B37" s="38">
        <v>9</v>
      </c>
      <c r="C37" s="39" t="s">
        <v>65</v>
      </c>
      <c r="D37" s="40" t="s">
        <v>74</v>
      </c>
      <c r="E37" s="37">
        <v>770000</v>
      </c>
    </row>
    <row r="38" spans="2:5" x14ac:dyDescent="0.35">
      <c r="B38" s="38">
        <v>10</v>
      </c>
      <c r="C38" s="39" t="s">
        <v>65</v>
      </c>
      <c r="D38" s="40" t="s">
        <v>75</v>
      </c>
      <c r="E38" s="37">
        <v>0</v>
      </c>
    </row>
    <row r="39" spans="2:5" x14ac:dyDescent="0.35">
      <c r="B39" s="38">
        <v>11</v>
      </c>
      <c r="C39" s="39" t="s">
        <v>65</v>
      </c>
      <c r="D39" s="40" t="s">
        <v>76</v>
      </c>
      <c r="E39" s="37">
        <v>770000</v>
      </c>
    </row>
    <row r="40" spans="2:5" x14ac:dyDescent="0.35">
      <c r="B40" s="38">
        <v>1</v>
      </c>
      <c r="C40" s="39" t="s">
        <v>77</v>
      </c>
      <c r="D40" s="40" t="s">
        <v>78</v>
      </c>
      <c r="E40" s="37">
        <v>805000</v>
      </c>
    </row>
    <row r="41" spans="2:5" x14ac:dyDescent="0.35">
      <c r="B41" s="38">
        <v>2</v>
      </c>
      <c r="C41" s="39" t="s">
        <v>77</v>
      </c>
      <c r="D41" s="40" t="s">
        <v>79</v>
      </c>
      <c r="E41" s="37">
        <v>770000</v>
      </c>
    </row>
    <row r="42" spans="2:5" x14ac:dyDescent="0.35">
      <c r="B42" s="38">
        <v>3</v>
      </c>
      <c r="C42" s="39" t="s">
        <v>77</v>
      </c>
      <c r="D42" s="40" t="s">
        <v>80</v>
      </c>
      <c r="E42" s="37">
        <v>770000</v>
      </c>
    </row>
    <row r="43" spans="2:5" x14ac:dyDescent="0.35">
      <c r="B43" s="38">
        <v>4</v>
      </c>
      <c r="C43" s="39" t="s">
        <v>77</v>
      </c>
      <c r="D43" s="40" t="s">
        <v>81</v>
      </c>
      <c r="E43" s="37">
        <v>770000</v>
      </c>
    </row>
    <row r="44" spans="2:5" x14ac:dyDescent="0.35">
      <c r="B44" s="38">
        <v>1</v>
      </c>
      <c r="C44" s="39" t="s">
        <v>82</v>
      </c>
      <c r="D44" s="40" t="s">
        <v>83</v>
      </c>
      <c r="E44" s="37">
        <v>500000</v>
      </c>
    </row>
    <row r="45" spans="2:5" x14ac:dyDescent="0.35">
      <c r="B45" s="38">
        <v>2</v>
      </c>
      <c r="C45" s="39" t="s">
        <v>82</v>
      </c>
      <c r="D45" s="24" t="s">
        <v>84</v>
      </c>
      <c r="E45" s="37">
        <v>500000</v>
      </c>
    </row>
    <row r="46" spans="2:5" x14ac:dyDescent="0.35">
      <c r="B46" s="38">
        <v>1</v>
      </c>
      <c r="C46" s="39" t="s">
        <v>85</v>
      </c>
      <c r="D46" s="40" t="s">
        <v>86</v>
      </c>
      <c r="E46" s="37">
        <v>840000</v>
      </c>
    </row>
    <row r="47" spans="2:5" x14ac:dyDescent="0.35">
      <c r="B47" s="38">
        <v>2</v>
      </c>
      <c r="C47" s="39" t="s">
        <v>85</v>
      </c>
      <c r="D47" s="40" t="s">
        <v>87</v>
      </c>
      <c r="E47" s="37">
        <v>770000</v>
      </c>
    </row>
    <row r="48" spans="2:5" x14ac:dyDescent="0.35">
      <c r="B48" s="38">
        <v>3</v>
      </c>
      <c r="C48" s="39" t="s">
        <v>85</v>
      </c>
      <c r="D48" s="40" t="s">
        <v>88</v>
      </c>
      <c r="E48" s="37">
        <v>770000</v>
      </c>
    </row>
    <row r="49" spans="2:5" x14ac:dyDescent="0.35">
      <c r="B49" s="38">
        <v>4</v>
      </c>
      <c r="C49" s="39" t="s">
        <v>85</v>
      </c>
      <c r="D49" s="40" t="s">
        <v>89</v>
      </c>
      <c r="E49" s="37">
        <v>770000</v>
      </c>
    </row>
    <row r="50" spans="2:5" x14ac:dyDescent="0.35">
      <c r="B50" s="38">
        <v>5</v>
      </c>
      <c r="C50" s="39" t="s">
        <v>85</v>
      </c>
      <c r="D50" s="40" t="s">
        <v>90</v>
      </c>
      <c r="E50" s="37">
        <v>770000</v>
      </c>
    </row>
    <row r="51" spans="2:5" x14ac:dyDescent="0.35">
      <c r="B51" s="38">
        <v>6</v>
      </c>
      <c r="C51" s="39" t="s">
        <v>85</v>
      </c>
      <c r="D51" s="40" t="s">
        <v>91</v>
      </c>
      <c r="E51" s="37">
        <v>770000</v>
      </c>
    </row>
    <row r="52" spans="2:5" x14ac:dyDescent="0.35">
      <c r="B52" s="38">
        <v>7</v>
      </c>
      <c r="C52" s="39" t="s">
        <v>85</v>
      </c>
      <c r="D52" s="40" t="s">
        <v>92</v>
      </c>
      <c r="E52" s="37">
        <v>770000</v>
      </c>
    </row>
    <row r="53" spans="2:5" x14ac:dyDescent="0.35">
      <c r="B53" s="38">
        <v>8</v>
      </c>
      <c r="C53" s="39" t="s">
        <v>85</v>
      </c>
      <c r="D53" s="40" t="s">
        <v>93</v>
      </c>
      <c r="E53" s="37">
        <v>770000</v>
      </c>
    </row>
    <row r="54" spans="2:5" x14ac:dyDescent="0.35">
      <c r="B54" s="38">
        <v>9</v>
      </c>
      <c r="C54" s="39" t="s">
        <v>85</v>
      </c>
      <c r="D54" s="40" t="s">
        <v>94</v>
      </c>
      <c r="E54" s="37">
        <v>660000</v>
      </c>
    </row>
    <row r="55" spans="2:5" x14ac:dyDescent="0.35">
      <c r="B55" s="38">
        <v>10</v>
      </c>
      <c r="C55" s="39" t="s">
        <v>85</v>
      </c>
      <c r="D55" s="40" t="s">
        <v>95</v>
      </c>
      <c r="E55" s="37">
        <v>770000</v>
      </c>
    </row>
    <row r="56" spans="2:5" x14ac:dyDescent="0.35">
      <c r="B56" s="38">
        <v>1</v>
      </c>
      <c r="C56" s="42" t="s">
        <v>96</v>
      </c>
      <c r="D56" s="40" t="s">
        <v>97</v>
      </c>
      <c r="E56" s="37">
        <v>1540000</v>
      </c>
    </row>
    <row r="57" spans="2:5" x14ac:dyDescent="0.35">
      <c r="B57" s="38">
        <v>2</v>
      </c>
      <c r="C57" s="42" t="s">
        <v>96</v>
      </c>
      <c r="D57" s="40" t="s">
        <v>98</v>
      </c>
      <c r="E57" s="37">
        <v>1400000</v>
      </c>
    </row>
    <row r="58" spans="2:5" x14ac:dyDescent="0.35">
      <c r="B58" s="43" t="s">
        <v>99</v>
      </c>
      <c r="C58" s="44"/>
      <c r="D58" s="45"/>
      <c r="E58" s="41">
        <f>SUM(E9:E57)</f>
        <v>39265000</v>
      </c>
    </row>
    <row r="60" spans="2:5" x14ac:dyDescent="0.35">
      <c r="E60" s="46"/>
    </row>
  </sheetData>
  <mergeCells count="8">
    <mergeCell ref="B58:D58"/>
    <mergeCell ref="B2:E2"/>
    <mergeCell ref="B3:E3"/>
    <mergeCell ref="B4:E4"/>
    <mergeCell ref="B6:B8"/>
    <mergeCell ref="C6:C8"/>
    <mergeCell ref="D6:D8"/>
    <mergeCell ref="E6:E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40"/>
  <sheetViews>
    <sheetView tabSelected="1" view="pageBreakPreview" zoomScaleNormal="100" zoomScaleSheetLayoutView="100" workbookViewId="0">
      <selection activeCell="H5" sqref="H5:I5"/>
    </sheetView>
  </sheetViews>
  <sheetFormatPr defaultColWidth="9.1796875" defaultRowHeight="12.5" x14ac:dyDescent="0.25"/>
  <cols>
    <col min="1" max="2" width="3.1796875" style="1" customWidth="1"/>
    <col min="3" max="3" width="23.1796875" style="1" customWidth="1"/>
    <col min="4" max="6" width="9.1796875" style="1"/>
    <col min="7" max="7" width="2.7265625" style="1" customWidth="1"/>
    <col min="8" max="8" width="21.81640625" style="1" customWidth="1"/>
    <col min="9" max="9" width="2" style="1" customWidth="1"/>
    <col min="10" max="16384" width="9.1796875" style="1"/>
  </cols>
  <sheetData>
    <row r="1" spans="1:9" ht="15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 ht="13" thickBot="1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3"/>
      <c r="B3" s="3"/>
      <c r="C3" s="3"/>
      <c r="D3" s="3"/>
      <c r="E3" s="3"/>
      <c r="F3" s="3"/>
      <c r="G3" s="3"/>
      <c r="H3" s="4"/>
      <c r="I3" s="4"/>
    </row>
    <row r="4" spans="1:9" x14ac:dyDescent="0.25">
      <c r="A4" s="5" t="s">
        <v>30</v>
      </c>
      <c r="B4" s="3"/>
      <c r="C4" s="3"/>
      <c r="D4" s="3"/>
      <c r="E4" s="3"/>
      <c r="F4" s="1" t="s">
        <v>1</v>
      </c>
      <c r="G4" s="1" t="s">
        <v>2</v>
      </c>
      <c r="H4" s="18" t="s">
        <v>26</v>
      </c>
      <c r="I4" s="19"/>
    </row>
    <row r="5" spans="1:9" x14ac:dyDescent="0.25">
      <c r="A5" s="1" t="s">
        <v>32</v>
      </c>
      <c r="F5" s="1" t="s">
        <v>3</v>
      </c>
      <c r="G5" s="1" t="s">
        <v>2</v>
      </c>
      <c r="H5" s="20" t="s">
        <v>42</v>
      </c>
      <c r="I5" s="20"/>
    </row>
    <row r="6" spans="1:9" x14ac:dyDescent="0.25">
      <c r="A6" s="1" t="s">
        <v>31</v>
      </c>
      <c r="F6" s="1" t="s">
        <v>4</v>
      </c>
      <c r="G6" s="1" t="s">
        <v>2</v>
      </c>
      <c r="H6" s="20" t="str">
        <f>_xlfn.XLOOKUP(H5,Sheet1!D9:D57,Sheet1!C9:C57,"",0,1)</f>
        <v>Asisten Lapangan</v>
      </c>
      <c r="I6" s="20"/>
    </row>
    <row r="7" spans="1:9" x14ac:dyDescent="0.25">
      <c r="A7" s="1" t="s">
        <v>33</v>
      </c>
      <c r="F7" s="1" t="s">
        <v>5</v>
      </c>
      <c r="G7" s="1" t="s">
        <v>2</v>
      </c>
      <c r="H7" s="20" t="s">
        <v>27</v>
      </c>
      <c r="I7" s="20"/>
    </row>
    <row r="8" spans="1:9" x14ac:dyDescent="0.25">
      <c r="A8" s="21"/>
      <c r="B8" s="21"/>
      <c r="F8" s="1" t="s">
        <v>6</v>
      </c>
      <c r="G8" s="1" t="s">
        <v>2</v>
      </c>
      <c r="H8" s="1" t="s">
        <v>24</v>
      </c>
    </row>
    <row r="9" spans="1:9" ht="13" thickBot="1" x14ac:dyDescent="0.3">
      <c r="A9" s="6"/>
      <c r="B9" s="6"/>
      <c r="C9" s="6"/>
      <c r="D9" s="6"/>
      <c r="E9" s="6"/>
      <c r="F9" s="6"/>
      <c r="G9" s="6"/>
      <c r="H9" s="6"/>
      <c r="I9" s="6"/>
    </row>
    <row r="11" spans="1:9" x14ac:dyDescent="0.25">
      <c r="B11" s="7" t="s">
        <v>7</v>
      </c>
    </row>
    <row r="12" spans="1:9" x14ac:dyDescent="0.25">
      <c r="B12" s="8" t="s">
        <v>8</v>
      </c>
      <c r="C12" s="1" t="s">
        <v>9</v>
      </c>
      <c r="G12" s="9"/>
      <c r="H12" s="9">
        <f>_xlfn.XLOOKUP(GAJI!H5,Sheet1!D9:D57,Sheet1!E9:E57,"",0,1)</f>
        <v>1400000</v>
      </c>
    </row>
    <row r="13" spans="1:9" x14ac:dyDescent="0.25">
      <c r="B13" s="1" t="s">
        <v>8</v>
      </c>
      <c r="C13" s="1" t="s">
        <v>10</v>
      </c>
      <c r="G13" s="9"/>
      <c r="H13" s="9">
        <v>0</v>
      </c>
    </row>
    <row r="14" spans="1:9" x14ac:dyDescent="0.25">
      <c r="B14" s="8" t="s">
        <v>8</v>
      </c>
      <c r="C14" s="1" t="s">
        <v>11</v>
      </c>
      <c r="G14" s="9"/>
      <c r="H14" s="9">
        <v>0</v>
      </c>
    </row>
    <row r="15" spans="1:9" x14ac:dyDescent="0.25">
      <c r="B15" s="8" t="s">
        <v>8</v>
      </c>
      <c r="C15" s="1" t="s">
        <v>12</v>
      </c>
      <c r="G15" s="9"/>
      <c r="H15" s="9">
        <v>0</v>
      </c>
    </row>
    <row r="16" spans="1:9" x14ac:dyDescent="0.25">
      <c r="B16" s="8" t="s">
        <v>8</v>
      </c>
      <c r="C16" s="1" t="s">
        <v>13</v>
      </c>
      <c r="G16" s="9"/>
      <c r="H16" s="9">
        <v>0</v>
      </c>
    </row>
    <row r="17" spans="1:9" x14ac:dyDescent="0.25">
      <c r="B17" s="8" t="s">
        <v>8</v>
      </c>
      <c r="C17" s="1" t="s">
        <v>14</v>
      </c>
      <c r="G17" s="9"/>
      <c r="H17" s="9">
        <v>0</v>
      </c>
    </row>
    <row r="18" spans="1:9" x14ac:dyDescent="0.25">
      <c r="B18" s="8" t="s">
        <v>8</v>
      </c>
      <c r="C18" s="1" t="s">
        <v>15</v>
      </c>
      <c r="G18" s="9"/>
      <c r="H18" s="9">
        <v>0</v>
      </c>
    </row>
    <row r="19" spans="1:9" s="7" customFormat="1" x14ac:dyDescent="0.25">
      <c r="B19" s="7" t="s">
        <v>16</v>
      </c>
      <c r="G19" s="9"/>
      <c r="H19" s="10">
        <f>SUM(H12:H18)</f>
        <v>1400000</v>
      </c>
    </row>
    <row r="20" spans="1:9" x14ac:dyDescent="0.25">
      <c r="G20" s="9"/>
    </row>
    <row r="21" spans="1:9" x14ac:dyDescent="0.25">
      <c r="B21" s="7" t="s">
        <v>17</v>
      </c>
      <c r="G21" s="9"/>
    </row>
    <row r="22" spans="1:9" x14ac:dyDescent="0.25">
      <c r="B22" s="1" t="s">
        <v>8</v>
      </c>
      <c r="C22" s="1" t="s">
        <v>18</v>
      </c>
      <c r="G22" s="9"/>
      <c r="H22" s="11">
        <v>0</v>
      </c>
    </row>
    <row r="23" spans="1:9" x14ac:dyDescent="0.25">
      <c r="B23" s="1" t="s">
        <v>8</v>
      </c>
      <c r="C23" s="1" t="s">
        <v>19</v>
      </c>
      <c r="G23" s="9"/>
      <c r="H23" s="11">
        <v>0</v>
      </c>
    </row>
    <row r="24" spans="1:9" x14ac:dyDescent="0.25">
      <c r="B24" s="8" t="s">
        <v>8</v>
      </c>
      <c r="C24" s="1" t="s">
        <v>20</v>
      </c>
      <c r="G24" s="9"/>
      <c r="H24" s="9">
        <v>0</v>
      </c>
    </row>
    <row r="25" spans="1:9" x14ac:dyDescent="0.25">
      <c r="B25" s="8" t="s">
        <v>8</v>
      </c>
      <c r="C25" s="1" t="s">
        <v>25</v>
      </c>
      <c r="G25" s="9"/>
      <c r="H25" s="9">
        <v>0</v>
      </c>
    </row>
    <row r="26" spans="1:9" s="7" customFormat="1" x14ac:dyDescent="0.25">
      <c r="B26" s="7" t="s">
        <v>21</v>
      </c>
      <c r="G26" s="9"/>
      <c r="H26" s="10">
        <f>SUM(H22:H25)</f>
        <v>0</v>
      </c>
    </row>
    <row r="27" spans="1:9" ht="13" thickBot="1" x14ac:dyDescent="0.3">
      <c r="G27" s="9"/>
    </row>
    <row r="28" spans="1:9" s="7" customFormat="1" ht="13" thickBot="1" x14ac:dyDescent="0.3">
      <c r="B28" s="7" t="s">
        <v>22</v>
      </c>
      <c r="G28" s="9"/>
      <c r="H28" s="12">
        <f>H19+H26</f>
        <v>1400000</v>
      </c>
    </row>
    <row r="29" spans="1:9" x14ac:dyDescent="0.25">
      <c r="G29" s="9"/>
    </row>
    <row r="30" spans="1:9" x14ac:dyDescent="0.25">
      <c r="B30" s="15"/>
      <c r="C30" s="15"/>
      <c r="D30" s="15"/>
      <c r="E30" s="15"/>
      <c r="F30" s="15"/>
      <c r="G30" s="15"/>
      <c r="H30" s="15"/>
    </row>
    <row r="31" spans="1:9" ht="13" thickBot="1" x14ac:dyDescent="0.3">
      <c r="A31" s="6"/>
      <c r="B31" s="6"/>
      <c r="C31" s="6"/>
      <c r="D31" s="6"/>
      <c r="E31" s="6"/>
      <c r="F31" s="6"/>
      <c r="G31" s="6"/>
      <c r="H31" s="6"/>
      <c r="I31" s="6"/>
    </row>
    <row r="33" spans="1:9" x14ac:dyDescent="0.25">
      <c r="A33" s="16" t="s">
        <v>100</v>
      </c>
      <c r="B33" s="16"/>
      <c r="C33" s="16"/>
      <c r="D33" s="16"/>
      <c r="E33" s="16"/>
      <c r="F33" s="16"/>
      <c r="G33" s="16"/>
      <c r="H33" s="16"/>
      <c r="I33" s="16"/>
    </row>
    <row r="35" spans="1:9" x14ac:dyDescent="0.25">
      <c r="C35" s="13" t="s">
        <v>23</v>
      </c>
      <c r="F35" s="14" t="s">
        <v>28</v>
      </c>
      <c r="G35" s="14"/>
      <c r="H35" s="14"/>
    </row>
    <row r="36" spans="1:9" x14ac:dyDescent="0.25">
      <c r="C36" s="13"/>
      <c r="F36" s="14"/>
      <c r="G36" s="14"/>
      <c r="H36" s="14"/>
    </row>
    <row r="37" spans="1:9" x14ac:dyDescent="0.25">
      <c r="C37" s="13"/>
      <c r="F37" s="14"/>
      <c r="G37" s="14"/>
      <c r="H37" s="14"/>
    </row>
    <row r="38" spans="1:9" x14ac:dyDescent="0.25">
      <c r="C38" s="13"/>
      <c r="F38" s="14"/>
      <c r="G38" s="14"/>
      <c r="H38" s="14"/>
    </row>
    <row r="39" spans="1:9" x14ac:dyDescent="0.25">
      <c r="C39" s="13"/>
      <c r="F39" s="14"/>
      <c r="G39" s="14"/>
      <c r="H39" s="14"/>
    </row>
    <row r="40" spans="1:9" x14ac:dyDescent="0.25">
      <c r="C40" s="13" t="str">
        <f>H5</f>
        <v>Endang Sulaiman</v>
      </c>
      <c r="F40" s="14" t="s">
        <v>29</v>
      </c>
      <c r="G40" s="14"/>
      <c r="H40" s="14"/>
    </row>
  </sheetData>
  <mergeCells count="14">
    <mergeCell ref="A8:B8"/>
    <mergeCell ref="A1:I1"/>
    <mergeCell ref="H4:I4"/>
    <mergeCell ref="H5:I5"/>
    <mergeCell ref="H6:I6"/>
    <mergeCell ref="H7:I7"/>
    <mergeCell ref="F40:H40"/>
    <mergeCell ref="B30:H30"/>
    <mergeCell ref="A33:I33"/>
    <mergeCell ref="F35:H35"/>
    <mergeCell ref="F36:H36"/>
    <mergeCell ref="F37:H37"/>
    <mergeCell ref="F38:H38"/>
    <mergeCell ref="F39:H39"/>
  </mergeCells>
  <pageMargins left="0.70866141732283472" right="0.47244094488188981" top="1.5748031496062993" bottom="0.74803149606299213" header="0.31496062992125984" footer="0.31496062992125984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A7BA7D-2608-4898-B108-3BC51CAB8631}">
          <x14:formula1>
            <xm:f>Sheet1!$D$9:$D$57</xm:f>
          </x14:formula1>
          <xm:sqref>H5:I5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GAJI</vt:lpstr>
    </vt:vector>
  </TitlesOfParts>
  <Company>LEA-ID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Contoh slip gaji</dc:title>
  <dc:creator>formatsurat.net</dc:creator>
  <cp:lastModifiedBy>Dani Nugraha</cp:lastModifiedBy>
  <cp:lastPrinted>2026-02-27T07:54:28Z</cp:lastPrinted>
  <dcterms:created xsi:type="dcterms:W3CDTF">2016-10-14T07:23:46Z</dcterms:created>
  <dcterms:modified xsi:type="dcterms:W3CDTF">2026-02-27T07:54:39Z</dcterms:modified>
</cp:coreProperties>
</file>